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요약" sheetId="1" r:id="rId1"/>
    <sheet name="월별 계획" sheetId="2" r:id="rId2"/>
    <sheet name="집행 기준" sheetId="3" r:id="rId3"/>
    <sheet name="가정 및 출처" sheetId="4" r:id="rId4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0.0x"/>
    <numFmt numFmtId="166" formatCode="0.0%"/>
  </numFmts>
  <fonts count="5">
    <font>
      <sz val="10"/>
      <name val="Arial"/>
      <color rgb="FF172033"/>
    </font>
    <font>
      <b/>
      <sz val="16"/>
      <name val="Arial"/>
      <color rgb="FFFFFFFF"/>
    </font>
    <font>
      <b/>
      <sz val="10"/>
      <name val="Arial"/>
      <color rgb="FFFFFFFF"/>
    </font>
    <font>
      <b/>
      <sz val="11"/>
      <name val="Arial"/>
      <color rgb="FF172033"/>
    </font>
    <font>
      <b/>
      <sz val="10"/>
      <name val="Arial"/>
      <color rgb="FF0F766E"/>
    </font>
  </fonts>
  <fills count="7">
    <fill>
      <patternFill patternType="none"/>
    </fill>
    <fill>
      <patternFill patternType="gray125"/>
    </fill>
    <fill>
      <patternFill patternType="solid">
        <fgColor rgb="FF173B72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7ED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ill="1" applyFont="1" applyAlignment="1">
      <alignment vertical="center"/>
    </xf>
    <xf numFmtId="0" fontId="2" fillId="3" borderId="1" xfId="0" applyFill="1" applyFont="1" applyBorder="1" applyAlignment="1">
      <alignment horizontal="center" vertical="center" wrapText="1"/>
    </xf>
    <xf numFmtId="0" fontId="3" fillId="4" borderId="1" xfId="0" applyFill="1" applyFont="1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4" fillId="5" borderId="1" xfId="0" applyNumberFormat="1" applyFill="1" applyFont="1" applyBorder="1" applyAlignment="1">
      <alignment horizontal="right" vertical="center"/>
    </xf>
    <xf numFmtId="0" fontId="0" fillId="6" borderId="1" xfId="0" applyFill="1" applyBorder="1" applyAlignment="1">
      <alignment vertical="center" wrapText="1"/>
    </xf>
    <xf numFmtId="0" fontId="3" fillId="5" borderId="1" xfId="0" applyFill="1" applyFont="1" applyBorder="1" applyAlignment="1">
      <alignment vertical="center" wrapText="1"/>
    </xf>
    <xf numFmtId="164" fontId="3" fillId="4" borderId="1" xfId="0" applyNumberFormat="1" applyFill="1" applyFont="1" applyBorder="1" applyAlignment="1">
      <alignment horizontal="right" vertical="center"/>
    </xf>
  </cellXfs>
  <dxfs count="1">
    <dxf>
      <font>
        <color rgb="FFB91C1C"/>
      </font>
      <fill>
        <patternFill patternType="solid">
          <fgColor rgb="FFFEE2E2"/>
          <bgColor indexed="64"/>
        </patternFill>
      </fill>
    </dxf>
  </d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0" customWidth="1"/>
    <col min="2" max="2" width="24" customWidth="1"/>
    <col min="3" max="3" width="24" customWidth="1"/>
    <col min="4" max="4" width="24" customWidth="1"/>
    <col min="5" max="5" width="23" customWidth="1"/>
    <col min="6" max="6" width="24" customWidth="1"/>
  </cols>
  <sheetData>
    <row r="1" ht="30" customHeight="1">
      <c r="A1" s="1" t="inlineStr">
        <is>
          <t>광고예산·ROI 흑자 전환 계획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3" ht="24" customHeight="1">
      <c r="A3" s="3" t="inlineStr">
        <is>
          <t>기준일</t>
        </is>
      </c>
      <c r="B3" s="7" t="inlineStr">
        <is>
          <t>2026-08-18</t>
        </is>
      </c>
      <c r="C3" s="3" t="inlineStr">
        <is>
          <t>현재 Total Revenue</t>
        </is>
      </c>
      <c r="D3" s="4">
        <v>25439.99</v>
      </c>
      <c r="E3" s="3" t="inlineStr">
        <is>
          <t>현재 광고비</t>
        </is>
      </c>
      <c r="F3" s="4">
        <v>35235.56</v>
      </c>
    </row>
    <row r="4" ht="24" customHeight="1">
      <c r="A4" s="3" t="inlineStr">
        <is>
          <t>현재 관리 ROI</t>
        </is>
      </c>
      <c r="B4" s="5">
        <v>0.72</v>
      </c>
      <c r="C4" s="3" t="inlineStr">
        <is>
          <t>마감 누적 적자(7월)</t>
        </is>
      </c>
      <c r="D4" s="4">
        <v>-66111.69</v>
      </c>
      <c r="E4" s="3" t="inlineStr">
        <is>
          <t>8월 포함 보수적 누적</t>
        </is>
      </c>
      <c r="F4" s="4">
        <v>-89794.06</v>
      </c>
    </row>
    <row r="6" ht="24" customHeight="1">
      <c r="A6" s="2" t="inlineStr">
        <is>
          <t>경영 결론</t>
        </is>
      </c>
      <c r="B6" s="2" t="inlineStr">
        <is>
          <t/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</row>
    <row r="7" ht="28" customHeight="1">
      <c r="A7" s="3" t="inlineStr">
        <is>
          <t>월 흑자 목표</t>
        </is>
      </c>
      <c r="B7" s="10" t="inlineStr">
        <is>
          <t>2026년 10월</t>
        </is>
      </c>
      <c r="C7" s="3" t="inlineStr">
        <is>
          <t>누적 흑자 목표</t>
        </is>
      </c>
      <c r="D7" s="10" t="inlineStr">
        <is>
          <t>2027년 2월</t>
        </is>
      </c>
      <c r="E7" s="3" t="inlineStr">
        <is>
          <t>ROI 3.0 목표</t>
        </is>
      </c>
      <c r="F7" s="10" t="inlineStr">
        <is>
          <t>2027년 3월</t>
        </is>
      </c>
    </row>
    <row r="9" ht="24" customHeight="1">
      <c r="A9" s="2" t="inlineStr">
        <is>
          <t>9월 예산 제안</t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</row>
    <row r="10" ht="26" customHeight="1">
      <c r="A10" s="3" t="inlineStr">
        <is>
          <t>최대 승인액</t>
        </is>
      </c>
      <c r="B10" s="11">
        <v>32000</v>
      </c>
      <c r="C10" s="3" t="inlineStr">
        <is>
          <t>우선 집행액</t>
        </is>
      </c>
      <c r="D10" s="11">
        <v>24000</v>
      </c>
      <c r="E10" s="3" t="inlineStr">
        <is>
          <t>조건부 예비액</t>
        </is>
      </c>
      <c r="F10" s="11">
        <v>8000</v>
      </c>
    </row>
    <row r="11" ht="34" customHeight="1">
      <c r="A11" s="3" t="inlineStr">
        <is>
          <t>예비액 집행 조건</t>
        </is>
      </c>
      <c r="B11" s="9" t="inlineStr">
        <is>
          <t>월 누적 ROI 1.2 이상이며 상품별 기여이익이 플러스일 때만 집행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</row>
    <row r="13" ht="24" customHeight="1">
      <c r="A13" s="2" t="inlineStr">
        <is>
          <t>주의</t>
        </is>
      </c>
      <c r="B13" s="2" t="inlineStr">
        <is>
          <t/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</row>
    <row r="14" ht="42" customHeight="1">
      <c r="A14" s="3" t="inlineStr">
        <is>
          <t>ROI 정의</t>
        </is>
      </c>
      <c r="B14" s="9" t="inlineStr">
        <is>
          <t>본 계획의 ROI는 Total Revenue ÷ 광고비입니다. TikTok Campaign 화면의 귀속 Gross Revenue ÷ Cost와 다를 수 있습니다.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</row>
    <row r="15" ht="42" customHeight="1">
      <c r="A15" s="3" t="inlineStr">
        <is>
          <t>손익 성격</t>
        </is>
      </c>
      <c r="B15" s="9" t="inlineStr">
        <is>
          <t>제품 원가·수수료 등 비광고비는 현재 확인 매출 대비 18.6%를 적용한 추정치입니다. 회계 마감 후 교체해야 합니다.</t>
        </is>
      </c>
      <c r="C15" s="9" t="inlineStr">
        <is>
          <t/>
        </is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</row>
  </sheetData>
  <mergeCells count="7">
    <mergeCell ref="A1:F1"/>
    <mergeCell ref="A6:F6"/>
    <mergeCell ref="A9:F9"/>
    <mergeCell ref="B11:F11"/>
    <mergeCell ref="A13:F13"/>
    <mergeCell ref="B14:F14"/>
    <mergeCell ref="B15:F15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8"/>
  <cols>
    <col min="1" max="1" width="13" customWidth="1"/>
    <col min="2" max="2" width="16" customWidth="1"/>
    <col min="3" max="3" width="16" customWidth="1"/>
    <col min="4" max="4" width="16" customWidth="1"/>
    <col min="5" max="5" width="13" customWidth="1"/>
    <col min="6" max="6" width="16" customWidth="1"/>
    <col min="7" max="7" width="17" customWidth="1"/>
    <col min="8" max="8" width="17" customWidth="1"/>
    <col min="9" max="9" width="17" customWidth="1"/>
    <col min="10" max="10" width="15" customWidth="1"/>
    <col min="11" max="11" width="34" customWidth="1"/>
  </cols>
  <sheetData>
    <row r="1" ht="30" customHeight="1">
      <c r="A1" s="1" t="inlineStr">
        <is>
          <t>2026.09~2027.03 월별 실행 계획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</row>
    <row r="2" ht="24" customHeight="1">
      <c r="A2" s="3" t="inlineStr">
        <is>
          <t>시작 누적손익</t>
        </is>
      </c>
      <c r="B2" s="11">
        <v>-89794.06</v>
      </c>
      <c r="C2" s="3" t="inlineStr">
        <is>
          <t>비광고비율</t>
        </is>
      </c>
      <c r="D2" s="6">
        <v>0.18598384893705686</v>
      </c>
      <c r="E2" s="3" t="inlineStr">
        <is>
          <t>ROI 정의</t>
        </is>
      </c>
      <c r="F2" s="7" t="inlineStr">
        <is>
          <t>Total Revenue ÷ 광고비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4" ht="34" customHeight="1">
      <c r="A4" s="2" t="inlineStr">
        <is>
          <t>월</t>
        </is>
      </c>
      <c r="B4" s="2" t="inlineStr">
        <is>
          <t>최대 승인액</t>
        </is>
      </c>
      <c r="C4" s="2" t="inlineStr">
        <is>
          <t>우선 집행액</t>
        </is>
      </c>
      <c r="D4" s="2" t="inlineStr">
        <is>
          <t>조건부 예비액</t>
        </is>
      </c>
      <c r="E4" s="2" t="inlineStr">
        <is>
          <t>목표 ROI</t>
        </is>
      </c>
      <c r="F4" s="2" t="inlineStr">
        <is>
          <t>매출 목표</t>
        </is>
      </c>
      <c r="G4" s="2" t="inlineStr">
        <is>
          <t>비광고비 추정</t>
        </is>
      </c>
      <c r="H4" s="2" t="inlineStr">
        <is>
          <t>예상 월손익</t>
        </is>
      </c>
      <c r="I4" s="2" t="inlineStr">
        <is>
          <t>예상 누적손익</t>
        </is>
      </c>
      <c r="J4" s="2" t="inlineStr">
        <is>
          <t>상태</t>
        </is>
      </c>
      <c r="K4" s="2" t="inlineStr">
        <is>
          <t>집행 조건</t>
        </is>
      </c>
    </row>
    <row r="5" ht="28" customHeight="1">
      <c r="A5" s="7" t="inlineStr">
        <is>
          <t>2026-09</t>
        </is>
      </c>
      <c r="B5" s="4">
        <v>32000</v>
      </c>
      <c r="C5" s="4">
        <v>24000</v>
      </c>
      <c r="D5" s="4">
        <f>B5-C5</f>
        <v>8000</v>
      </c>
      <c r="E5" s="5">
        <v>1.2</v>
      </c>
      <c r="F5" s="4">
        <f>B5*E5</f>
        <v>38400.0</v>
      </c>
      <c r="G5" s="4">
        <f>F5*$D$2</f>
        <v>7141.779799182983</v>
      </c>
      <c r="H5" s="4">
        <f>F5-B5-G5</f>
        <v>-741.779799182983</v>
      </c>
      <c r="I5" s="4">
        <f>$B$2+H5</f>
        <v>-90535.83979918298</v>
      </c>
      <c r="J5" s="7" t="inlineStr">
        <is>
          <t>전환 단계</t>
        </is>
      </c>
      <c r="K5" s="7" t="inlineStr">
        <is>
          <t>ROI 1.2 이상일 때 예비액 집행</t>
        </is>
      </c>
    </row>
    <row r="6" ht="28" customHeight="1">
      <c r="A6" s="7" t="inlineStr">
        <is>
          <t>2026-10</t>
        </is>
      </c>
      <c r="B6" s="4">
        <v>30000</v>
      </c>
      <c r="C6" s="4">
        <v>23000</v>
      </c>
      <c r="D6" s="4">
        <f>B6-C6</f>
        <v>7000</v>
      </c>
      <c r="E6" s="5">
        <v>1.5</v>
      </c>
      <c r="F6" s="4">
        <f>B6*E6</f>
        <v>45000.0</v>
      </c>
      <c r="G6" s="4">
        <f>F6*$D$2</f>
        <v>8369.273202167558</v>
      </c>
      <c r="H6" s="4">
        <f>F6-B6-G6</f>
        <v>6630.726797832442</v>
      </c>
      <c r="I6" s="4">
        <f>I5+H6</f>
        <v>-83905.11300135055</v>
      </c>
      <c r="J6" s="7" t="inlineStr">
        <is>
          <t>월 흑자</t>
        </is>
      </c>
      <c r="K6" s="7" t="inlineStr">
        <is>
          <t>9월 목표 달성 광고 중심 재배분</t>
        </is>
      </c>
    </row>
    <row r="7" ht="28" customHeight="1">
      <c r="A7" s="7" t="inlineStr">
        <is>
          <t>2026-11</t>
        </is>
      </c>
      <c r="B7" s="4">
        <v>28000</v>
      </c>
      <c r="C7" s="4">
        <v>22000</v>
      </c>
      <c r="D7" s="4">
        <f>B7-C7</f>
        <v>6000</v>
      </c>
      <c r="E7" s="5">
        <v>1.8</v>
      </c>
      <c r="F7" s="4">
        <f>B7*E7</f>
        <v>50400.0</v>
      </c>
      <c r="G7" s="4">
        <f>F7*$D$2</f>
        <v>9373.585986427666</v>
      </c>
      <c r="H7" s="4">
        <f>F7-B7-G7</f>
        <v>13026.414013572334</v>
      </c>
      <c r="I7" s="4">
        <f>I6+H7</f>
        <v>-70878.69898777822</v>
      </c>
      <c r="J7" s="7" t="inlineStr">
        <is>
          <t>월 흑자</t>
        </is>
      </c>
      <c r="K7" s="7" t="inlineStr">
        <is>
          <t>상품별 기여이익 플러스 광고만 증액</t>
        </is>
      </c>
    </row>
    <row r="8" ht="28" customHeight="1">
      <c r="A8" s="7" t="inlineStr">
        <is>
          <t>2026-12</t>
        </is>
      </c>
      <c r="B8" s="4">
        <v>26000</v>
      </c>
      <c r="C8" s="4">
        <v>20000</v>
      </c>
      <c r="D8" s="4">
        <f>B8-C8</f>
        <v>6000</v>
      </c>
      <c r="E8" s="5">
        <v>2.1</v>
      </c>
      <c r="F8" s="4">
        <f>B8*E8</f>
        <v>54600.0</v>
      </c>
      <c r="G8" s="4">
        <f>F8*$D$2</f>
        <v>10154.718151963305</v>
      </c>
      <c r="H8" s="4">
        <f>F8-B8-G8</f>
        <v>18445.281848036695</v>
      </c>
      <c r="I8" s="4">
        <f>I7+H8</f>
        <v>-52433.41713974152</v>
      </c>
      <c r="J8" s="7" t="inlineStr">
        <is>
          <t>월 흑자</t>
        </is>
      </c>
      <c r="K8" s="7" t="inlineStr">
        <is>
          <t>ROI 2.0 미만 광고 즉시 감액</t>
        </is>
      </c>
    </row>
    <row r="9" ht="28" customHeight="1">
      <c r="A9" s="7" t="inlineStr">
        <is>
          <t>2027-01</t>
        </is>
      </c>
      <c r="B9" s="4">
        <v>24000</v>
      </c>
      <c r="C9" s="4">
        <v>19000</v>
      </c>
      <c r="D9" s="4">
        <f>B9-C9</f>
        <v>5000</v>
      </c>
      <c r="E9" s="5">
        <v>2.5</v>
      </c>
      <c r="F9" s="4">
        <f>B9*E9</f>
        <v>60000.0</v>
      </c>
      <c r="G9" s="4">
        <f>F9*$D$2</f>
        <v>11159.030936223411</v>
      </c>
      <c r="H9" s="4">
        <f>F9-B9-G9</f>
        <v>24840.96906377659</v>
      </c>
      <c r="I9" s="4">
        <f>I8+H9</f>
        <v>-27592.44807596493</v>
      </c>
      <c r="J9" s="7" t="inlineStr">
        <is>
          <t>월 흑자</t>
        </is>
      </c>
      <c r="K9" s="7" t="inlineStr">
        <is>
          <t>주간 ROI 2.5 이상 유지</t>
        </is>
      </c>
    </row>
    <row r="10" ht="28" customHeight="1">
      <c r="A10" s="7" t="inlineStr">
        <is>
          <t>2027-02</t>
        </is>
      </c>
      <c r="B10" s="4">
        <v>22000</v>
      </c>
      <c r="C10" s="4">
        <v>18000</v>
      </c>
      <c r="D10" s="4">
        <f>B10-C10</f>
        <v>4000</v>
      </c>
      <c r="E10" s="5">
        <v>2.8</v>
      </c>
      <c r="F10" s="4">
        <f>B10*E10</f>
        <v>61599.99999999999</v>
      </c>
      <c r="G10" s="4">
        <f>F10*$D$2</f>
        <v>11456.605094522702</v>
      </c>
      <c r="H10" s="4">
        <f>F10-B10-G10</f>
        <v>28143.39490547729</v>
      </c>
      <c r="I10" s="8">
        <f>I9+H10</f>
        <v>550.9468295123588</v>
      </c>
      <c r="J10" s="10" t="inlineStr">
        <is>
          <t>누적 흑자</t>
        </is>
      </c>
      <c r="K10" s="7" t="inlineStr">
        <is>
          <t>누적 흑자 전환 확인</t>
        </is>
      </c>
    </row>
    <row r="11" ht="28" customHeight="1">
      <c r="A11" s="7" t="inlineStr">
        <is>
          <t>2027-03</t>
        </is>
      </c>
      <c r="B11" s="4">
        <v>22000</v>
      </c>
      <c r="C11" s="4">
        <v>18000</v>
      </c>
      <c r="D11" s="4">
        <f>B11-C11</f>
        <v>4000</v>
      </c>
      <c r="E11" s="5">
        <v>3.0</v>
      </c>
      <c r="F11" s="4">
        <f>B11*E11</f>
        <v>66000.0</v>
      </c>
      <c r="G11" s="4">
        <f>F11*$D$2</f>
        <v>12274.934029845752</v>
      </c>
      <c r="H11" s="4">
        <f>F11-B11-G11</f>
        <v>31725.065970154246</v>
      </c>
      <c r="I11" s="8">
        <f>I10+H11</f>
        <v>32276.012799666605</v>
      </c>
      <c r="J11" s="10" t="inlineStr">
        <is>
          <t>누적 흑자</t>
        </is>
      </c>
      <c r="K11" s="7" t="inlineStr">
        <is>
          <t>대표 목표 ROI 3.0 정착</t>
        </is>
      </c>
    </row>
  </sheetData>
  <autoFilter ref="A4:K11"/>
  <mergeCells count="1">
    <mergeCell ref="A1:K1"/>
  </mergeCells>
  <conditionalFormatting sqref="H5:I11">
    <cfRule type="cellIs" dxfId="0" priority="1" operator="lessThan">
      <formula>0</formula>
    </cfRule>
  </conditionalFormatting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8"/>
  <cols>
    <col min="1" max="1" width="16" customWidth="1"/>
    <col min="2" max="2" width="39" customWidth="1"/>
    <col min="3" max="3" width="30" customWidth="1"/>
    <col min="4" max="4" width="36" customWidth="1"/>
  </cols>
  <sheetData>
    <row r="1" ht="30" customHeight="1">
      <c r="A1" s="1" t="inlineStr">
        <is>
          <t>광고비 집행 기준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3" ht="30" customHeight="1">
      <c r="A3" s="2" t="inlineStr">
        <is>
          <t>관리 항목</t>
        </is>
      </c>
      <c r="B3" s="2" t="inlineStr">
        <is>
          <t>통과 기준</t>
        </is>
      </c>
      <c r="C3" s="2" t="inlineStr">
        <is>
          <t>경고 기준</t>
        </is>
      </c>
      <c r="D3" s="2" t="inlineStr">
        <is>
          <t>조치</t>
        </is>
      </c>
    </row>
    <row r="4" ht="38" customHeight="1">
      <c r="A4" s="3" t="inlineStr">
        <is>
          <t>주간 예산</t>
        </is>
      </c>
      <c r="B4" s="7" t="inlineStr">
        <is>
          <t>월 최대 승인액을 4주로 나눠 집행</t>
        </is>
      </c>
      <c r="C4" s="9" t="inlineStr">
        <is>
          <t>주간 상한 초과 금지</t>
        </is>
      </c>
      <c r="D4" s="7" t="inlineStr">
        <is>
          <t>초과분 다음 주 차감</t>
        </is>
      </c>
    </row>
    <row r="5" ht="38" customHeight="1">
      <c r="A5" s="3" t="inlineStr">
        <is>
          <t>ROI</t>
        </is>
      </c>
      <c r="B5" s="7" t="inlineStr">
        <is>
          <t>월별 목표 ROI의 90% 이상</t>
        </is>
      </c>
      <c r="C5" s="9" t="inlineStr">
        <is>
          <t>2주 연속 미달</t>
        </is>
      </c>
      <c r="D5" s="7" t="inlineStr">
        <is>
          <t>해당 광고 예산 20% 감액</t>
        </is>
      </c>
    </row>
    <row r="6" ht="38" customHeight="1">
      <c r="A6" s="3" t="inlineStr">
        <is>
          <t>손익</t>
        </is>
      </c>
      <c r="B6" s="7" t="inlineStr">
        <is>
          <t>상품별 기여이익 플러스</t>
        </is>
      </c>
      <c r="C6" s="9" t="inlineStr">
        <is>
          <t>기여이익 마이너스</t>
        </is>
      </c>
      <c r="D6" s="7" t="inlineStr">
        <is>
          <t>증액 금지·가격/수수료 재검토</t>
        </is>
      </c>
    </row>
    <row r="7" ht="38" customHeight="1">
      <c r="A7" s="3" t="inlineStr">
        <is>
          <t>예비액</t>
        </is>
      </c>
      <c r="B7" s="7" t="inlineStr">
        <is>
          <t>목표 ROI 달성 + 기여이익 플러스</t>
        </is>
      </c>
      <c r="C7" s="9" t="inlineStr">
        <is>
          <t>둘 중 하나라도 미달</t>
        </is>
      </c>
      <c r="D7" s="7" t="inlineStr">
        <is>
          <t>예비액 미집행</t>
        </is>
      </c>
    </row>
    <row r="8" ht="38" customHeight="1">
      <c r="A8" s="3" t="inlineStr">
        <is>
          <t>증액</t>
        </is>
      </c>
      <c r="B8" s="7" t="inlineStr">
        <is>
          <t>7일 ROI 목표 초과 및 주문 증가</t>
        </is>
      </c>
      <c r="C8" s="9" t="inlineStr">
        <is>
          <t>일시적 1일 급등</t>
        </is>
      </c>
      <c r="D8" s="7" t="inlineStr">
        <is>
          <t>3일 이상 재검증 후 최대 10% 증액</t>
        </is>
      </c>
    </row>
    <row r="9" ht="38" customHeight="1">
      <c r="A9" s="3" t="inlineStr">
        <is>
          <t>중단</t>
        </is>
      </c>
      <c r="B9" s="7" t="inlineStr">
        <is>
          <t>ROI 1.0 미만 7일 지속</t>
        </is>
      </c>
      <c r="C9" s="9" t="inlineStr">
        <is>
          <t>매출만 있고 마진 없음</t>
        </is>
      </c>
      <c r="D9" s="7" t="inlineStr">
        <is>
          <t>광고 중단 후 소재·상품 교체</t>
        </is>
      </c>
    </row>
    <row r="11" ht="24" customHeight="1">
      <c r="A11" s="2" t="inlineStr">
        <is>
          <t>대표 보고 문구</t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</row>
    <row r="12" ht="58" customHeight="1">
      <c r="A12" t="inlineStr">
        <is>
          <t/>
        </is>
      </c>
      <c r="B12" s="9" t="inlineStr">
        <is>
          <t>9월 광고비는 최대 $32,000으로 승인받되 $24,000만 우선 집행합니다. 목표 ROI와 상품별 기여이익을 충족할 때만 예비액 $8,000을 단계적으로 사용합니다. 2027년 2월 누적 흑자, 3월 ROI 3.0을 목표로 관리합니다.</t>
        </is>
      </c>
      <c r="C12" s="9" t="inlineStr">
        <is>
          <t/>
        </is>
      </c>
      <c r="D12" s="9" t="inlineStr">
        <is>
          <t/>
        </is>
      </c>
    </row>
  </sheetData>
  <mergeCells count="3">
    <mergeCell ref="A1:D1"/>
    <mergeCell ref="A11:D11"/>
    <mergeCell ref="B12:D12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8"/>
  <cols>
    <col min="1" max="1" width="18" customWidth="1"/>
    <col min="2" max="2" width="45" customWidth="1"/>
    <col min="3" max="3" width="23" customWidth="1"/>
    <col min="4" max="4" width="41" customWidth="1"/>
  </cols>
  <sheetData>
    <row r="1" ht="30" customHeight="1">
      <c r="A1" s="1" t="inlineStr">
        <is>
          <t>가정 및 출처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3" ht="30" customHeight="1">
      <c r="A3" s="2" t="inlineStr">
        <is>
          <t>항목</t>
        </is>
      </c>
      <c r="B3" s="2" t="inlineStr">
        <is>
          <t>원본</t>
        </is>
      </c>
      <c r="C3" s="2" t="inlineStr">
        <is>
          <t>적용 기간</t>
        </is>
      </c>
      <c r="D3" s="2" t="inlineStr">
        <is>
          <t>값·설명</t>
        </is>
      </c>
    </row>
    <row r="4" ht="36" customHeight="1">
      <c r="A4" s="3" t="inlineStr">
        <is>
          <t>정산 매출</t>
        </is>
      </c>
      <c r="B4" s="7" t="inlineStr">
        <is>
          <t>income_20260817172713(UTC-7).xlsx</t>
        </is>
      </c>
      <c r="C4" s="7" t="inlineStr">
        <is>
          <t>2026-08-01~08-17</t>
        </is>
      </c>
      <c r="D4" s="7" t="inlineStr">
        <is>
          <t>$25,439.99 Total Revenue</t>
        </is>
      </c>
    </row>
    <row r="5" ht="36" customHeight="1">
      <c r="A5" s="3" t="inlineStr">
        <is>
          <t>광고비</t>
        </is>
      </c>
      <c r="B5" s="7" t="inlineStr">
        <is>
          <t>ads.tiktok.csv</t>
        </is>
      </c>
      <c r="C5" s="7" t="inlineStr">
        <is>
          <t>2026-08-01~08-18</t>
        </is>
      </c>
      <c r="D5" s="7" t="inlineStr">
        <is>
          <t>$35,235.56 Cost</t>
        </is>
      </c>
    </row>
    <row r="6" ht="36" customHeight="1">
      <c r="A6" s="3" t="inlineStr">
        <is>
          <t>7월까지 누적</t>
        </is>
      </c>
      <c r="B6" s="7" t="inlineStr">
        <is>
          <t>assets/monthly-data.js 및 월별 Finance 원본</t>
        </is>
      </c>
      <c r="C6" s="7" t="inlineStr">
        <is>
          <t>2025-11~2026-07</t>
        </is>
      </c>
      <c r="D6" s="7" t="inlineStr">
        <is>
          <t>추정 누적손익 -$66,111.69</t>
        </is>
      </c>
    </row>
    <row r="7" ht="36" customHeight="1">
      <c r="A7" s="3" t="inlineStr">
        <is>
          <t>비광고비율</t>
        </is>
      </c>
      <c r="B7" s="7" t="inlineStr">
        <is>
          <t>Admin 비용 스냅샷</t>
        </is>
      </c>
      <c r="C7" s="7" t="inlineStr">
        <is>
          <t>현재 계획 가정</t>
        </is>
      </c>
      <c r="D7" s="7" t="inlineStr">
        <is>
          <t>$13,559 ÷ $72,904.18 = 18.598%</t>
        </is>
      </c>
    </row>
    <row r="8" ht="36" customHeight="1">
      <c r="A8" s="3" t="inlineStr">
        <is>
          <t>8월 포함 누적</t>
        </is>
      </c>
      <c r="B8" s="7" t="inlineStr">
        <is>
          <t>정산액과 8/17까지 광고비 결합</t>
        </is>
      </c>
      <c r="C8" s="7" t="inlineStr">
        <is>
          <t>컷오프 정렬</t>
        </is>
      </c>
      <c r="D8" s="7" t="inlineStr">
        <is>
          <t>보수적 누적 -$89,794.06</t>
        </is>
      </c>
    </row>
    <row r="10" ht="24" customHeight="1">
      <c r="A10" s="2" t="inlineStr">
        <is>
          <t>검증 제한</t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</row>
    <row r="11" ht="42" customHeight="1">
      <c r="A11" t="inlineStr">
        <is>
          <t/>
        </is>
      </c>
      <c r="B11" s="9" t="inlineStr">
        <is>
          <t>8월 매출과 광고비의 종료일이 하루 다릅니다. 누적 손익은 의사결정용 보수적 추정이며 월 마감 확정치가 아닙니다.</t>
        </is>
      </c>
      <c r="C11" s="9" t="inlineStr">
        <is>
          <t/>
        </is>
      </c>
      <c r="D11" s="9" t="inlineStr">
        <is>
          <t/>
        </is>
      </c>
    </row>
    <row r="12" ht="42" customHeight="1">
      <c r="A12" t="inlineStr">
        <is>
          <t/>
        </is>
      </c>
      <c r="B12" s="9" t="inlineStr">
        <is>
          <t>제품 원가·시딩·수수료·물류비의 실제 월 마감 원장이 연결되면 비광고비 추정치를 실제값으로 교체해야 합니다.</t>
        </is>
      </c>
      <c r="C12" s="9" t="inlineStr">
        <is>
          <t/>
        </is>
      </c>
      <c r="D12" s="9" t="inlineStr">
        <is>
          <t/>
        </is>
      </c>
    </row>
  </sheetData>
  <mergeCells count="4">
    <mergeCell ref="A1:D1"/>
    <mergeCell ref="A10:D10"/>
    <mergeCell ref="B11:D11"/>
    <mergeCell ref="B12:D12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광고예산 ROI 흑자 전환 계획</dc:title>
  <dc:creator>Serena Project</dc:creator>
  <dcterms:created xsi:type="dcterms:W3CDTF">2026-08-18T10:36:18Z</dcterms:created>
  <dcterms:modified xsi:type="dcterms:W3CDTF">2026-08-18T10:36:18Z</dcterms:modified>
</cp:coreProperties>
</file>